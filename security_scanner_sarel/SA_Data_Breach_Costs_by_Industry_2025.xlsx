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 Breach Costs by 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&quot;M&quot;"/>
    <numFmt numFmtId="165" formatCode="R#,##0.0&quot;M&quot;"/>
    <numFmt numFmtId="166" formatCode="R#,##0"/>
    <numFmt numFmtId="167" formatCode="0.00&quot;x&quot;"/>
  </numFmts>
  <fonts count="13">
    <font>
      <name val="Calibri"/>
      <family val="2"/>
      <color theme="1"/>
      <sz val="11"/>
      <scheme val="minor"/>
    </font>
    <font>
      <name val="Arial"/>
      <b val="1"/>
      <color rgb="000F2744"/>
      <sz val="14"/>
    </font>
    <font>
      <name val="Arial"/>
      <color rgb="0064748B"/>
      <sz val="9"/>
    </font>
    <font>
      <name val="Arial"/>
      <i val="1"/>
      <color rgb="0094A3B8"/>
      <sz val="8"/>
    </font>
    <font>
      <name val="Arial"/>
      <b val="1"/>
      <color rgb="00FFFFFF"/>
      <sz val="11"/>
    </font>
    <font>
      <name val="Arial"/>
      <color rgb="0094A3B8"/>
      <sz val="8"/>
    </font>
    <font>
      <name val="Arial"/>
      <color rgb="001D4ED8"/>
      <sz val="8"/>
    </font>
    <font>
      <name val="Arial"/>
      <b val="1"/>
      <color rgb="000F172A"/>
      <sz val="10"/>
    </font>
    <font>
      <name val="Arial"/>
      <color rgb="001D4ED8"/>
      <sz val="10"/>
    </font>
    <font>
      <name val="Arial"/>
      <color rgb="000F172A"/>
      <sz val="10"/>
    </font>
    <font>
      <name val="Arial"/>
      <b val="1"/>
      <color rgb="00FFFFFF"/>
      <sz val="10"/>
    </font>
    <font>
      <name val="Arial"/>
      <b val="1"/>
      <sz val="9"/>
    </font>
    <font>
      <name val="Arial"/>
      <color rgb="0064748B"/>
      <sz val="8"/>
    </font>
  </fonts>
  <fills count="7">
    <fill>
      <patternFill/>
    </fill>
    <fill>
      <patternFill patternType="gray125"/>
    </fill>
    <fill>
      <patternFill patternType="solid">
        <fgColor rgb="000F2744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164" fontId="8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166" fontId="9" fillId="0" borderId="1" applyAlignment="1" pivotButton="0" quotePrefix="0" xfId="0">
      <alignment vertical="center"/>
    </xf>
    <xf numFmtId="167" fontId="9" fillId="0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165" fontId="7" fillId="3" borderId="1" applyAlignment="1" pivotButton="0" quotePrefix="0" xfId="0">
      <alignment vertical="center"/>
    </xf>
    <xf numFmtId="166" fontId="9" fillId="4" borderId="1" applyAlignment="1" pivotButton="0" quotePrefix="0" xfId="0">
      <alignment vertical="center"/>
    </xf>
    <xf numFmtId="167" fontId="9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165" fontId="9" fillId="4" borderId="1" applyAlignment="1" pivotButton="0" quotePrefix="0" xfId="0">
      <alignment vertical="center"/>
    </xf>
    <xf numFmtId="0" fontId="9" fillId="5" borderId="1" applyAlignment="1" pivotButton="0" quotePrefix="0" xfId="0">
      <alignment vertical="center"/>
    </xf>
    <xf numFmtId="0" fontId="10" fillId="6" borderId="1" applyAlignment="1" pivotButton="0" quotePrefix="0" xfId="0">
      <alignment vertical="center"/>
    </xf>
    <xf numFmtId="164" fontId="10" fillId="6" borderId="1" applyAlignment="1" pivotButton="0" quotePrefix="0" xfId="0">
      <alignment vertical="center"/>
    </xf>
    <xf numFmtId="165" fontId="10" fillId="6" borderId="1" applyAlignment="1" pivotButton="0" quotePrefix="0" xfId="0">
      <alignment vertical="center"/>
    </xf>
    <xf numFmtId="166" fontId="10" fillId="6" borderId="1" applyAlignment="1" pivotButton="0" quotePrefix="0" xfId="0">
      <alignment vertical="center"/>
    </xf>
    <xf numFmtId="167" fontId="1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1" fillId="0" borderId="0" pivotButton="0" quotePrefix="0" xfId="0"/>
    <xf numFmtId="0" fontId="1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4" customWidth="1" min="5" max="5"/>
    <col width="10" customWidth="1" min="6" max="6"/>
    <col width="14" customWidth="1" min="7" max="7"/>
    <col width="40" customWidth="1" min="8" max="8"/>
  </cols>
  <sheetData>
    <row r="1" ht="30" customHeight="1">
      <c r="A1" s="1" t="inlineStr">
        <is>
          <t>South Africa Data Breach Cost by Industry — Derived from IBM 2025 Report</t>
        </is>
      </c>
      <c r="J1" s="2" t="inlineStr">
        <is>
          <t>SA Avg Breach (ZAR M)</t>
        </is>
      </c>
      <c r="K1" s="3" t="n">
        <v>44.1</v>
      </c>
    </row>
    <row r="2" ht="20" customHeight="1">
      <c r="A2" s="4" t="inlineStr">
        <is>
          <t>Base: R44.1M avg breach cost | 23,445 avg records | R1,881/record | Exchange rate: R16.50/USD</t>
        </is>
      </c>
      <c r="J2" s="2" t="inlineStr">
        <is>
          <t>Global Avg (USD M)</t>
        </is>
      </c>
      <c r="K2" s="3" t="n">
        <v>4.44</v>
      </c>
    </row>
    <row r="3">
      <c r="A3" s="5" t="inlineStr">
        <is>
          <t>Sources: IBM/Ponemon Cost of a Data Breach Report 2025, TechCentral SA, iAfrica</t>
        </is>
      </c>
      <c r="J3" s="2" t="inlineStr">
        <is>
          <t>SA Avg Records</t>
        </is>
      </c>
      <c r="K3" s="3" t="n">
        <v>23445</v>
      </c>
    </row>
    <row r="4">
      <c r="J4" s="2" t="inlineStr">
        <is>
          <t>USD/ZAR</t>
        </is>
      </c>
      <c r="K4" s="3" t="n">
        <v>16.5</v>
      </c>
    </row>
    <row r="5" ht="36" customHeight="1">
      <c r="A5" s="6" t="inlineStr">
        <is>
          <t>Industry</t>
        </is>
      </c>
      <c r="B5" s="6" t="inlineStr">
        <is>
          <t>Global Avg
Breach Cost (USD)</t>
        </is>
      </c>
      <c r="C5" s="6" t="inlineStr">
        <is>
          <t>SA Derived
Breach Cost (ZAR)</t>
        </is>
      </c>
      <c r="D5" s="6" t="inlineStr">
        <is>
          <t>SA Cost
Per Record (ZAR)</t>
        </is>
      </c>
      <c r="E5" s="6" t="inlineStr">
        <is>
          <t>Industry
Multiplier</t>
        </is>
      </c>
      <c r="F5" s="6" t="inlineStr">
        <is>
          <t>YoY
Trend</t>
        </is>
      </c>
      <c r="G5" s="6" t="inlineStr">
        <is>
          <t>Data
Source</t>
        </is>
      </c>
      <c r="H5" s="6" t="inlineStr">
        <is>
          <t>Notes</t>
        </is>
      </c>
      <c r="J5" s="2" t="inlineStr">
        <is>
          <t>SA Ratio</t>
        </is>
      </c>
      <c r="K5" s="3">
        <f>$K$1/($K$2*$K$4)</f>
        <v/>
      </c>
    </row>
    <row r="6" ht="28" customHeight="1">
      <c r="A6" s="7" t="inlineStr">
        <is>
          <t>Healthcare</t>
        </is>
      </c>
      <c r="B6" s="8" t="n">
        <v>7.42</v>
      </c>
      <c r="C6" s="9">
        <f>B6*$K$4*$K$5</f>
        <v/>
      </c>
      <c r="D6" s="10">
        <f>C6*1000000/$K$3</f>
        <v/>
      </c>
      <c r="E6" s="11">
        <f>C6/$K$1</f>
        <v/>
      </c>
      <c r="F6" s="12" t="inlineStr">
        <is>
          <t>Down</t>
        </is>
      </c>
      <c r="G6" s="13" t="inlineStr">
        <is>
          <t>IBM Global</t>
        </is>
      </c>
      <c r="H6" s="14" t="inlineStr">
        <is>
          <t>Highest globally for 14th consecutive year; 279-day containment</t>
        </is>
      </c>
    </row>
    <row r="7" ht="28" customHeight="1">
      <c r="A7" s="15" t="inlineStr">
        <is>
          <t>Financial Services</t>
        </is>
      </c>
      <c r="B7" s="16" t="n">
        <v>5.56</v>
      </c>
      <c r="C7" s="17" t="n">
        <v>70.2</v>
      </c>
      <c r="D7" s="18">
        <f>C7*1000000/$K$3</f>
        <v/>
      </c>
      <c r="E7" s="19">
        <f>C7/$K$1</f>
        <v/>
      </c>
      <c r="F7" s="12" t="inlineStr">
        <is>
          <t>Down</t>
        </is>
      </c>
      <c r="G7" s="20" t="inlineStr">
        <is>
          <t>IBM SA Direct</t>
        </is>
      </c>
      <c r="H7" s="21" t="inlineStr">
        <is>
          <t>Highest in SA; POPIA enforcement driving costs</t>
        </is>
      </c>
    </row>
    <row r="8" ht="28" customHeight="1">
      <c r="A8" s="7" t="inlineStr">
        <is>
          <t>Industrial / Manufacturing</t>
        </is>
      </c>
      <c r="B8" s="8" t="n">
        <v>5</v>
      </c>
      <c r="C8" s="9">
        <f>B8*$K$4*$K$5</f>
        <v/>
      </c>
      <c r="D8" s="10">
        <f>C8*1000000/$K$3</f>
        <v/>
      </c>
      <c r="E8" s="11">
        <f>C8/$K$1</f>
        <v/>
      </c>
      <c r="F8" s="12" t="inlineStr">
        <is>
          <t>Down</t>
        </is>
      </c>
      <c r="G8" s="13" t="inlineStr">
        <is>
          <t>IBM Global</t>
        </is>
      </c>
      <c r="H8" s="14" t="inlineStr">
        <is>
          <t>High costs especially in APAC region</t>
        </is>
      </c>
    </row>
    <row r="9" ht="28" customHeight="1">
      <c r="A9" s="15" t="inlineStr">
        <is>
          <t>Energy</t>
        </is>
      </c>
      <c r="B9" s="16" t="n">
        <v>4.83</v>
      </c>
      <c r="C9" s="22">
        <f>B9*$K$4*$K$5</f>
        <v/>
      </c>
      <c r="D9" s="18">
        <f>C9*1000000/$K$3</f>
        <v/>
      </c>
      <c r="E9" s="19">
        <f>C9/$K$1</f>
        <v/>
      </c>
      <c r="F9" s="12" t="inlineStr">
        <is>
          <t>Down</t>
        </is>
      </c>
      <c r="G9" s="20" t="inlineStr">
        <is>
          <t>IBM Global</t>
        </is>
      </c>
      <c r="H9" s="21" t="inlineStr">
        <is>
          <t>Critical infrastructure; regulatory penalties</t>
        </is>
      </c>
    </row>
    <row r="10" ht="28" customHeight="1">
      <c r="A10" s="7" t="inlineStr">
        <is>
          <t>Technology</t>
        </is>
      </c>
      <c r="B10" s="8" t="n">
        <v>4.79</v>
      </c>
      <c r="C10" s="9">
        <f>B10*$K$4*$K$5</f>
        <v/>
      </c>
      <c r="D10" s="10">
        <f>C10*1000000/$K$3</f>
        <v/>
      </c>
      <c r="E10" s="11">
        <f>C10/$K$1</f>
        <v/>
      </c>
      <c r="F10" s="12" t="inlineStr">
        <is>
          <t>Down</t>
        </is>
      </c>
      <c r="G10" s="13" t="inlineStr">
        <is>
          <t>IBM Global</t>
        </is>
      </c>
      <c r="H10" s="14" t="inlineStr">
        <is>
          <t>Supply chain exploits driving costs</t>
        </is>
      </c>
    </row>
    <row r="11" ht="28" customHeight="1">
      <c r="A11" s="15" t="inlineStr">
        <is>
          <t>Pharmaceuticals</t>
        </is>
      </c>
      <c r="B11" s="16" t="n">
        <v>4.61</v>
      </c>
      <c r="C11" s="22">
        <f>B11*$K$4*$K$5</f>
        <v/>
      </c>
      <c r="D11" s="18">
        <f>C11*1000000/$K$3</f>
        <v/>
      </c>
      <c r="E11" s="19">
        <f>C11/$K$1</f>
        <v/>
      </c>
      <c r="F11" s="12" t="inlineStr">
        <is>
          <t>Down</t>
        </is>
      </c>
      <c r="G11" s="20" t="inlineStr">
        <is>
          <t>IBM Global</t>
        </is>
      </c>
      <c r="H11" s="21" t="inlineStr">
        <is>
          <t>IP theft and regulatory compliance costs</t>
        </is>
      </c>
    </row>
    <row r="12" ht="28" customHeight="1">
      <c r="A12" s="7" t="inlineStr">
        <is>
          <t>Services</t>
        </is>
      </c>
      <c r="B12" s="8" t="n">
        <v>4.56</v>
      </c>
      <c r="C12" s="17" t="n">
        <v>56.8</v>
      </c>
      <c r="D12" s="10">
        <f>C12*1000000/$K$3</f>
        <v/>
      </c>
      <c r="E12" s="11">
        <f>C12/$K$1</f>
        <v/>
      </c>
      <c r="F12" s="12" t="inlineStr">
        <is>
          <t>Down</t>
        </is>
      </c>
      <c r="G12" s="13" t="inlineStr">
        <is>
          <t>IBM SA Direct</t>
        </is>
      </c>
      <c r="H12" s="14" t="inlineStr">
        <is>
          <t>SA-specific: disproportionately higher than global ratio</t>
        </is>
      </c>
    </row>
    <row r="13" ht="28" customHeight="1">
      <c r="A13" s="15" t="inlineStr">
        <is>
          <t>Entertainment</t>
        </is>
      </c>
      <c r="B13" s="16" t="n">
        <v>4.43</v>
      </c>
      <c r="C13" s="22">
        <f>B13*$K$4*$K$5</f>
        <v/>
      </c>
      <c r="D13" s="18">
        <f>C13*1000000/$K$3</f>
        <v/>
      </c>
      <c r="E13" s="19">
        <f>C13/$K$1</f>
        <v/>
      </c>
      <c r="F13" s="23" t="inlineStr">
        <is>
          <t>Up</t>
        </is>
      </c>
      <c r="G13" s="20" t="inlineStr">
        <is>
          <t>IBM Global</t>
        </is>
      </c>
      <c r="H13" s="21" t="inlineStr">
        <is>
          <t>Bucked downward trend; costs increased YoY</t>
        </is>
      </c>
    </row>
    <row r="14" ht="28" customHeight="1">
      <c r="A14" s="7" t="inlineStr">
        <is>
          <t>Media</t>
        </is>
      </c>
      <c r="B14" s="8" t="n">
        <v>4.22</v>
      </c>
      <c r="C14" s="9">
        <f>B14*$K$4*$K$5</f>
        <v/>
      </c>
      <c r="D14" s="10">
        <f>C14*1000000/$K$3</f>
        <v/>
      </c>
      <c r="E14" s="11">
        <f>C14/$K$1</f>
        <v/>
      </c>
      <c r="F14" s="23" t="inlineStr">
        <is>
          <t>Up</t>
        </is>
      </c>
      <c r="G14" s="13" t="inlineStr">
        <is>
          <t>IBM Global</t>
        </is>
      </c>
      <c r="H14" s="14" t="inlineStr">
        <is>
          <t>Bucked downward trend; costs increased YoY</t>
        </is>
      </c>
    </row>
    <row r="15" ht="28" customHeight="1">
      <c r="A15" s="15" t="inlineStr">
        <is>
          <t>Hospitality</t>
        </is>
      </c>
      <c r="B15" s="16" t="n">
        <v>4.03</v>
      </c>
      <c r="C15" s="17" t="n">
        <v>57.5</v>
      </c>
      <c r="D15" s="18">
        <f>C15*1000000/$K$3</f>
        <v/>
      </c>
      <c r="E15" s="19">
        <f>C15/$K$1</f>
        <v/>
      </c>
      <c r="F15" s="23" t="inlineStr">
        <is>
          <t>Up</t>
        </is>
      </c>
      <c r="G15" s="20" t="inlineStr">
        <is>
          <t>IBM SA Direct</t>
        </is>
      </c>
      <c r="H15" s="21" t="inlineStr">
        <is>
          <t>SA-specific: significantly higher than global ratio</t>
        </is>
      </c>
    </row>
    <row r="16" ht="28" customHeight="1">
      <c r="A16" s="7" t="inlineStr">
        <is>
          <t>Transportation</t>
        </is>
      </c>
      <c r="B16" s="8" t="n">
        <v>3.98</v>
      </c>
      <c r="C16" s="9">
        <f>B16*$K$4*$K$5</f>
        <v/>
      </c>
      <c r="D16" s="10">
        <f>C16*1000000/$K$3</f>
        <v/>
      </c>
      <c r="E16" s="11">
        <f>C16/$K$1</f>
        <v/>
      </c>
      <c r="F16" s="12" t="inlineStr">
        <is>
          <t>Down</t>
        </is>
      </c>
      <c r="G16" s="13" t="inlineStr">
        <is>
          <t>IBM Global</t>
        </is>
      </c>
      <c r="H16" s="14" t="inlineStr">
        <is>
          <t>Logistics and supply chain data exposure</t>
        </is>
      </c>
    </row>
    <row r="17" ht="28" customHeight="1">
      <c r="A17" s="15" t="inlineStr">
        <is>
          <t>Education</t>
        </is>
      </c>
      <c r="B17" s="16" t="n">
        <v>3.8</v>
      </c>
      <c r="C17" s="22">
        <f>B17*$K$4*$K$5</f>
        <v/>
      </c>
      <c r="D17" s="18">
        <f>C17*1000000/$K$3</f>
        <v/>
      </c>
      <c r="E17" s="19">
        <f>C17/$K$1</f>
        <v/>
      </c>
      <c r="F17" s="23" t="inlineStr">
        <is>
          <t>Up</t>
        </is>
      </c>
      <c r="G17" s="20" t="inlineStr">
        <is>
          <t>IBM Global</t>
        </is>
      </c>
      <c r="H17" s="21" t="inlineStr">
        <is>
          <t>Increasing attacks on institutions; costs rising</t>
        </is>
      </c>
    </row>
    <row r="18" ht="28" customHeight="1">
      <c r="A18" s="7" t="inlineStr">
        <is>
          <t>Research</t>
        </is>
      </c>
      <c r="B18" s="8" t="n">
        <v>3.79</v>
      </c>
      <c r="C18" s="9">
        <f>B18*$K$4*$K$5</f>
        <v/>
      </c>
      <c r="D18" s="10">
        <f>C18*1000000/$K$3</f>
        <v/>
      </c>
      <c r="E18" s="11">
        <f>C18/$K$1</f>
        <v/>
      </c>
      <c r="F18" s="23" t="inlineStr">
        <is>
          <t>Up</t>
        </is>
      </c>
      <c r="G18" s="13" t="inlineStr">
        <is>
          <t>IBM Global</t>
        </is>
      </c>
      <c r="H18" s="14" t="inlineStr">
        <is>
          <t>IP and research data theft</t>
        </is>
      </c>
    </row>
    <row r="19" ht="28" customHeight="1">
      <c r="A19" s="15" t="inlineStr">
        <is>
          <t>Communications</t>
        </is>
      </c>
      <c r="B19" s="16" t="n">
        <v>3.75</v>
      </c>
      <c r="C19" s="22">
        <f>B19*$K$4*$K$5</f>
        <v/>
      </c>
      <c r="D19" s="18">
        <f>C19*1000000/$K$3</f>
        <v/>
      </c>
      <c r="E19" s="19">
        <f>C19/$K$1</f>
        <v/>
      </c>
      <c r="F19" s="12" t="inlineStr">
        <is>
          <t>Down</t>
        </is>
      </c>
      <c r="G19" s="20" t="inlineStr">
        <is>
          <t>IBM Global</t>
        </is>
      </c>
      <c r="H19" s="21" t="inlineStr">
        <is>
          <t>Telecom and ISP breach costs</t>
        </is>
      </c>
    </row>
    <row r="20" ht="28" customHeight="1">
      <c r="A20" s="7" t="inlineStr">
        <is>
          <t>Consumer</t>
        </is>
      </c>
      <c r="B20" s="8" t="n">
        <v>3.72</v>
      </c>
      <c r="C20" s="9">
        <f>B20*$K$4*$K$5</f>
        <v/>
      </c>
      <c r="D20" s="10">
        <f>C20*1000000/$K$3</f>
        <v/>
      </c>
      <c r="E20" s="11">
        <f>C20/$K$1</f>
        <v/>
      </c>
      <c r="F20" s="12" t="inlineStr">
        <is>
          <t>Down</t>
        </is>
      </c>
      <c r="G20" s="13" t="inlineStr">
        <is>
          <t>IBM Global</t>
        </is>
      </c>
      <c r="H20" s="14" t="inlineStr">
        <is>
          <t>PII and payment data exposure</t>
        </is>
      </c>
    </row>
    <row r="21" ht="28" customHeight="1">
      <c r="A21" s="15" t="inlineStr">
        <is>
          <t>Retail</t>
        </is>
      </c>
      <c r="B21" s="16" t="n">
        <v>3.54</v>
      </c>
      <c r="C21" s="22">
        <f>B21*$K$4*$K$5</f>
        <v/>
      </c>
      <c r="D21" s="18">
        <f>C21*1000000/$K$3</f>
        <v/>
      </c>
      <c r="E21" s="19">
        <f>C21/$K$1</f>
        <v/>
      </c>
      <c r="F21" s="23" t="inlineStr">
        <is>
          <t>Up</t>
        </is>
      </c>
      <c r="G21" s="20" t="inlineStr">
        <is>
          <t>IBM Global</t>
        </is>
      </c>
      <c r="H21" s="21" t="inlineStr">
        <is>
          <t>Ransomware up 58% Q1-Q2 2025</t>
        </is>
      </c>
    </row>
    <row r="22" ht="28" customHeight="1">
      <c r="A22" s="7" t="inlineStr">
        <is>
          <t>Public Sector</t>
        </is>
      </c>
      <c r="B22" s="8" t="n">
        <v>2.86</v>
      </c>
      <c r="C22" s="9">
        <f>B22*$K$4*$K$5</f>
        <v/>
      </c>
      <c r="D22" s="10">
        <f>C22*1000000/$K$3</f>
        <v/>
      </c>
      <c r="E22" s="11">
        <f>C22/$K$1</f>
        <v/>
      </c>
      <c r="F22" s="23" t="inlineStr">
        <is>
          <t>Up</t>
        </is>
      </c>
      <c r="G22" s="13" t="inlineStr">
        <is>
          <t>IBM Global</t>
        </is>
      </c>
      <c r="H22" s="14" t="inlineStr">
        <is>
          <t>Lowest cost but increasing trend; government data</t>
        </is>
      </c>
    </row>
    <row r="23">
      <c r="A23" s="24" t="inlineStr">
        <is>
          <t>CROSS-INDUSTRY AVERAGE</t>
        </is>
      </c>
      <c r="B23" s="25" t="n">
        <v>4.44</v>
      </c>
      <c r="C23" s="26" t="n">
        <v>44.1</v>
      </c>
      <c r="D23" s="27">
        <f>C23*1000000/$K$3</f>
        <v/>
      </c>
      <c r="E23" s="28" t="n">
        <v>1</v>
      </c>
      <c r="F23" s="29" t="n"/>
      <c r="G23" s="29" t="n"/>
      <c r="H23" s="29" t="n"/>
    </row>
    <row r="25">
      <c r="A25" s="30" t="inlineStr">
        <is>
          <t>Legend:</t>
        </is>
      </c>
    </row>
    <row r="26">
      <c r="A26" s="31" t="inlineStr">
        <is>
          <t>Green cells = IBM SA direct data (actual reported figures)</t>
        </is>
      </c>
      <c r="B26" s="32" t="n"/>
    </row>
    <row r="27">
      <c r="A27" s="31" t="inlineStr">
        <is>
          <t>White cells = Derived from global data using SA adjustment ratio (0.602)</t>
        </is>
      </c>
    </row>
    <row r="28">
      <c r="A28" s="3" t="inlineStr">
        <is>
          <t>Blue text = Hardcoded inputs (IBM report data)</t>
        </is>
      </c>
    </row>
    <row r="29">
      <c r="A29" s="31" t="inlineStr">
        <is>
          <t>SA Adjustment Ratio = SA Avg (R44.1M) / (Global Avg $4.44M x R16.50) = 0.602</t>
        </is>
      </c>
    </row>
  </sheetData>
  <mergeCells count="4">
    <mergeCell ref="A3:H3"/>
    <mergeCell ref="A2:H2"/>
    <mergeCell ref="A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2026-03-16T23:50:33Z</dcterms:created>
  <dcterms:modified xsi:type="dcterms:W3CDTF">2026-03-16T23:50:33Z</dcterms:modified>
</cp:coreProperties>
</file>