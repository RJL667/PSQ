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arel\Desktop\Sarel\SML Consulting\PSQ\"/>
    </mc:Choice>
  </mc:AlternateContent>
  <xr:revisionPtr revIDLastSave="0" documentId="11_66BD423F92D6F8491993F4B0505ED87656CD4110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 Breach Costs by Indust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1" l="1"/>
  <c r="C19" i="1"/>
  <c r="E19" i="1" s="1"/>
  <c r="C18" i="1"/>
  <c r="D18" i="1" s="1"/>
  <c r="E15" i="1"/>
  <c r="D15" i="1"/>
  <c r="C14" i="1"/>
  <c r="E14" i="1" s="1"/>
  <c r="C13" i="1"/>
  <c r="E13" i="1" s="1"/>
  <c r="E12" i="1"/>
  <c r="D12" i="1"/>
  <c r="C9" i="1"/>
  <c r="E9" i="1" s="1"/>
  <c r="C8" i="1"/>
  <c r="D8" i="1" s="1"/>
  <c r="E7" i="1"/>
  <c r="D7" i="1"/>
  <c r="C6" i="1"/>
  <c r="E6" i="1" s="1"/>
  <c r="K5" i="1"/>
  <c r="C17" i="1" s="1"/>
  <c r="E17" i="1" l="1"/>
  <c r="D17" i="1"/>
  <c r="E18" i="1"/>
  <c r="D19" i="1"/>
  <c r="C20" i="1"/>
  <c r="C21" i="1"/>
  <c r="C22" i="1"/>
  <c r="D13" i="1"/>
  <c r="E8" i="1"/>
  <c r="D14" i="1"/>
  <c r="C10" i="1"/>
  <c r="C16" i="1"/>
  <c r="C11" i="1"/>
  <c r="D6" i="1"/>
  <c r="D9" i="1"/>
  <c r="E10" i="1" l="1"/>
  <c r="D10" i="1"/>
  <c r="D11" i="1"/>
  <c r="E11" i="1"/>
  <c r="E16" i="1"/>
  <c r="D16" i="1"/>
  <c r="E22" i="1"/>
  <c r="D22" i="1"/>
  <c r="E21" i="1"/>
  <c r="D21" i="1"/>
  <c r="E20" i="1"/>
  <c r="D20" i="1"/>
</calcChain>
</file>

<file path=xl/sharedStrings.xml><?xml version="1.0" encoding="utf-8"?>
<sst xmlns="http://schemas.openxmlformats.org/spreadsheetml/2006/main" count="90" uniqueCount="59">
  <si>
    <t>South Africa Data Breach Cost by Industry — Derived from IBM 2025 Report</t>
  </si>
  <si>
    <t>SA Avg Breach (ZAR M)</t>
  </si>
  <si>
    <t>Base: R44.1M avg breach cost | 23,445 avg records | R1,881/record | Exchange rate: R16.50/USD</t>
  </si>
  <si>
    <t>Global Avg (USD M)</t>
  </si>
  <si>
    <t>Sources: IBM/Ponemon Cost of a Data Breach Report 2025, TechCentral SA, iAfrica</t>
  </si>
  <si>
    <t>SA Avg Records</t>
  </si>
  <si>
    <t>USD/ZAR</t>
  </si>
  <si>
    <t>Industry</t>
  </si>
  <si>
    <t>Global Avg
Breach Cost (USD)</t>
  </si>
  <si>
    <t>SA Derived
Breach Cost (ZAR)</t>
  </si>
  <si>
    <t>SA Cost
Per Record (ZAR)</t>
  </si>
  <si>
    <t>Industry
Multiplier</t>
  </si>
  <si>
    <t>YoY
Trend</t>
  </si>
  <si>
    <t>Data
Source</t>
  </si>
  <si>
    <t>Notes</t>
  </si>
  <si>
    <t>SA Ratio</t>
  </si>
  <si>
    <t>Healthcare</t>
  </si>
  <si>
    <t>Down</t>
  </si>
  <si>
    <t>IBM Global</t>
  </si>
  <si>
    <t>Highest globally for 14th consecutive year; 279-day containment</t>
  </si>
  <si>
    <t>Financial Services</t>
  </si>
  <si>
    <t>IBM SA Direct</t>
  </si>
  <si>
    <t>Highest in SA; POPIA enforcement driving costs</t>
  </si>
  <si>
    <t>Industrial / Manufacturing</t>
  </si>
  <si>
    <t>High costs especially in APAC region</t>
  </si>
  <si>
    <t>Energy</t>
  </si>
  <si>
    <t>Critical infrastructure; regulatory penalties</t>
  </si>
  <si>
    <t>Technology</t>
  </si>
  <si>
    <t>Supply chain exploits driving costs</t>
  </si>
  <si>
    <t>Pharmaceuticals</t>
  </si>
  <si>
    <t>IP theft and regulatory compliance costs</t>
  </si>
  <si>
    <t>Services</t>
  </si>
  <si>
    <t>SA-specific: disproportionately higher than global ratio</t>
  </si>
  <si>
    <t>Entertainment</t>
  </si>
  <si>
    <t>Up</t>
  </si>
  <si>
    <t>Bucked downward trend; costs increased YoY</t>
  </si>
  <si>
    <t>Media</t>
  </si>
  <si>
    <t>Hospitality</t>
  </si>
  <si>
    <t>SA-specific: significantly higher than global ratio</t>
  </si>
  <si>
    <t>Transportation</t>
  </si>
  <si>
    <t>Logistics and supply chain data exposure</t>
  </si>
  <si>
    <t>Education</t>
  </si>
  <si>
    <t>Increasing attacks on institutions; costs rising</t>
  </si>
  <si>
    <t>Research</t>
  </si>
  <si>
    <t>IP and research data theft</t>
  </si>
  <si>
    <t>Communications</t>
  </si>
  <si>
    <t>Telecom and ISP breach costs</t>
  </si>
  <si>
    <t>Consumer</t>
  </si>
  <si>
    <t>PII and payment data exposure</t>
  </si>
  <si>
    <t>Retail</t>
  </si>
  <si>
    <t>Ransomware up 58% Q1-Q2 2025</t>
  </si>
  <si>
    <t>Public Sector</t>
  </si>
  <si>
    <t>Lowest cost but increasing trend; government data</t>
  </si>
  <si>
    <t>CROSS-INDUSTRY AVERAGE</t>
  </si>
  <si>
    <t>Legend:</t>
  </si>
  <si>
    <t>Green cells = IBM SA direct data (actual reported figures)</t>
  </si>
  <si>
    <t>White cells = Derived from global data using SA adjustment ratio (0.602)</t>
  </si>
  <si>
    <t>Blue text = Hardcoded inputs (IBM report data)</t>
  </si>
  <si>
    <t>SA Adjustment Ratio = SA Avg (R44.1M) / (Global Avg $4.44M x R16.50) = 0.602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</si>
</sst>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.00&quot;M&quot;"/>
    <numFmt numFmtId="165" formatCode="\R#,##0.0&quot;M&quot;"/>
    <numFmt numFmtId="166" formatCode="\R#,##0"/>
    <numFmt numFmtId="167" formatCode="0.00&quot;x&quot;"/>
  </numFmts>
  <fonts count="13" x14ac:knownFonts="1">
    <font>
      <sz val="11"/>
      <color theme="1"/>
      <name val="Calibri"/>
      <family val="2"/>
      <scheme val="minor"/>
    </font>
    <font>
      <b/>
      <sz val="14"/>
      <color rgb="FF0F2744"/>
      <name val="Arial"/>
    </font>
    <font>
      <sz val="9"/>
      <color rgb="FF64748B"/>
      <name val="Arial"/>
    </font>
    <font>
      <i/>
      <sz val="8"/>
      <color rgb="FF94A3B8"/>
      <name val="Arial"/>
    </font>
    <font>
      <b/>
      <sz val="11"/>
      <color rgb="FFFFFFFF"/>
      <name val="Arial"/>
    </font>
    <font>
      <sz val="8"/>
      <color rgb="FF94A3B8"/>
      <name val="Arial"/>
    </font>
    <font>
      <sz val="8"/>
      <color rgb="FF1D4ED8"/>
      <name val="Arial"/>
    </font>
    <font>
      <b/>
      <sz val="10"/>
      <color rgb="FF0F172A"/>
      <name val="Arial"/>
    </font>
    <font>
      <sz val="10"/>
      <color rgb="FF1D4ED8"/>
      <name val="Arial"/>
    </font>
    <font>
      <sz val="10"/>
      <color rgb="FF0F172A"/>
      <name val="Arial"/>
    </font>
    <font>
      <b/>
      <sz val="10"/>
      <color rgb="FFFFFFFF"/>
      <name val="Arial"/>
    </font>
    <font>
      <b/>
      <sz val="9"/>
      <name val="Arial"/>
    </font>
    <font>
      <sz val="8"/>
      <color rgb="FF64748B"/>
      <name val="Arial"/>
    </font>
  </fonts>
  <fills count="7">
    <fill>
      <patternFill patternType="none"/>
    </fill>
    <fill>
      <patternFill patternType="gray125"/>
    </fill>
    <fill>
      <patternFill patternType="solid">
        <fgColor rgb="FF0F2744"/>
      </patternFill>
    </fill>
    <fill>
      <patternFill patternType="solid">
        <fgColor rgb="FFDCFCE7"/>
      </patternFill>
    </fill>
    <fill>
      <patternFill patternType="solid">
        <fgColor rgb="FFF1F5F9"/>
      </patternFill>
    </fill>
    <fill>
      <patternFill patternType="solid">
        <fgColor rgb="FFFEE2E2"/>
      </patternFill>
    </fill>
    <fill>
      <patternFill patternType="solid">
        <fgColor rgb="FF1D4ED8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5" fillId="0" borderId="0" xfId="0" applyFont="1"/>
    <xf numFmtId="0" fontId="6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/>
    </xf>
    <xf numFmtId="164" fontId="8" fillId="0" borderId="1" xfId="0" applyNumberFormat="1" applyFont="1" applyBorder="1" applyAlignment="1">
      <alignment vertical="center"/>
    </xf>
    <xf numFmtId="165" fontId="9" fillId="0" borderId="1" xfId="0" applyNumberFormat="1" applyFont="1" applyBorder="1" applyAlignment="1">
      <alignment vertical="center"/>
    </xf>
    <xf numFmtId="166" fontId="9" fillId="0" borderId="1" xfId="0" applyNumberFormat="1" applyFont="1" applyBorder="1" applyAlignment="1">
      <alignment vertical="center"/>
    </xf>
    <xf numFmtId="167" fontId="9" fillId="0" borderId="1" xfId="0" applyNumberFormat="1" applyFont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7" fillId="4" borderId="1" xfId="0" applyFont="1" applyFill="1" applyBorder="1" applyAlignment="1">
      <alignment vertical="center"/>
    </xf>
    <xf numFmtId="164" fontId="8" fillId="4" borderId="1" xfId="0" applyNumberFormat="1" applyFont="1" applyFill="1" applyBorder="1" applyAlignment="1">
      <alignment vertical="center"/>
    </xf>
    <xf numFmtId="165" fontId="7" fillId="3" borderId="1" xfId="0" applyNumberFormat="1" applyFont="1" applyFill="1" applyBorder="1" applyAlignment="1">
      <alignment vertical="center"/>
    </xf>
    <xf numFmtId="166" fontId="9" fillId="4" borderId="1" xfId="0" applyNumberFormat="1" applyFont="1" applyFill="1" applyBorder="1" applyAlignment="1">
      <alignment vertical="center"/>
    </xf>
    <xf numFmtId="167" fontId="9" fillId="4" borderId="1" xfId="0" applyNumberFormat="1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 wrapText="1"/>
    </xf>
    <xf numFmtId="165" fontId="9" fillId="4" borderId="1" xfId="0" applyNumberFormat="1" applyFont="1" applyFill="1" applyBorder="1" applyAlignment="1">
      <alignment vertical="center"/>
    </xf>
    <xf numFmtId="0" fontId="9" fillId="5" borderId="1" xfId="0" applyFont="1" applyFill="1" applyBorder="1" applyAlignment="1">
      <alignment vertical="center"/>
    </xf>
    <xf numFmtId="164" fontId="10" fillId="6" borderId="1" xfId="0" applyNumberFormat="1" applyFont="1" applyFill="1" applyBorder="1" applyAlignment="1">
      <alignment vertical="center"/>
    </xf>
    <xf numFmtId="165" fontId="10" fillId="6" borderId="1" xfId="0" applyNumberFormat="1" applyFont="1" applyFill="1" applyBorder="1" applyAlignment="1">
      <alignment vertical="center"/>
    </xf>
    <xf numFmtId="166" fontId="10" fillId="6" borderId="1" xfId="0" applyNumberFormat="1" applyFont="1" applyFill="1" applyBorder="1" applyAlignment="1">
      <alignment vertical="center"/>
    </xf>
    <xf numFmtId="167" fontId="10" fillId="6" borderId="1" xfId="0" applyNumberFormat="1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11" fillId="0" borderId="0" xfId="0" applyFont="1"/>
    <xf numFmtId="0" fontId="12" fillId="0" borderId="0" xfId="0" applyFont="1"/>
    <xf numFmtId="0" fontId="0" fillId="3" borderId="0" xfId="0" applyFill="1"/>
    <xf numFmtId="0" fontId="3" fillId="0" borderId="0" xfId="0" applyFont="1"/>
    <xf numFmtId="0" fontId="0" fillId="0" borderId="0" xfId="0"/>
    <xf numFmtId="0" fontId="2" fillId="0" borderId="0" xfId="0" applyFont="1"/>
    <xf numFmtId="0" fontId="10" fillId="6" borderId="1" xfId="0" applyFont="1" applyFill="1" applyBorder="1" applyAlignment="1">
      <alignment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9"/>
  <sheetViews>
    <sheetView tabSelected="1" workbookViewId="0">
      <pane ySplit="5" topLeftCell="A6" activePane="bottomLeft" state="frozen"/>
      <selection pane="bottomLeft" sqref="A1:H1"/>
    </sheetView>
  </sheetViews>
  <sheetFormatPr defaultRowHeight="15" x14ac:dyDescent="0.25"/>
  <cols>
    <col min="1" max="1" width="28" customWidth="1"/>
    <col min="2" max="4" width="18" customWidth="1"/>
    <col min="5" max="5" width="14" customWidth="1"/>
    <col min="6" max="6" width="10" customWidth="1"/>
    <col min="7" max="7" width="14" customWidth="1"/>
    <col min="8" max="8" width="40" customWidth="1"/>
  </cols>
  <sheetData>
    <row r="1" spans="1:11" ht="30" customHeight="1" x14ac:dyDescent="0.25">
      <c r="A1" s="33" t="s">
        <v>0</v>
      </c>
      <c r="B1" s="30"/>
      <c r="C1" s="30"/>
      <c r="D1" s="30"/>
      <c r="E1" s="30"/>
      <c r="F1" s="30"/>
      <c r="G1" s="30"/>
      <c r="H1" s="30"/>
      <c r="J1" s="1" t="s">
        <v>1</v>
      </c>
      <c r="K1" s="2">
        <v>44.1</v>
      </c>
    </row>
    <row r="2" spans="1:11" ht="20.100000000000001" customHeight="1" x14ac:dyDescent="0.25">
      <c r="A2" s="31" t="s">
        <v>2</v>
      </c>
      <c r="B2" s="30"/>
      <c r="C2" s="30"/>
      <c r="D2" s="30"/>
      <c r="E2" s="30"/>
      <c r="F2" s="30"/>
      <c r="G2" s="30"/>
      <c r="H2" s="30"/>
      <c r="J2" s="1" t="s">
        <v>3</v>
      </c>
      <c r="K2" s="2">
        <v>4.4400000000000004</v>
      </c>
    </row>
    <row r="3" spans="1:11" x14ac:dyDescent="0.25">
      <c r="A3" s="29" t="s">
        <v>4</v>
      </c>
      <c r="B3" s="30"/>
      <c r="C3" s="30"/>
      <c r="D3" s="30"/>
      <c r="E3" s="30"/>
      <c r="F3" s="30"/>
      <c r="G3" s="30"/>
      <c r="H3" s="30"/>
      <c r="J3" s="1" t="s">
        <v>5</v>
      </c>
      <c r="K3" s="2">
        <v>23445</v>
      </c>
    </row>
    <row r="4" spans="1:11" x14ac:dyDescent="0.25">
      <c r="J4" s="1" t="s">
        <v>6</v>
      </c>
      <c r="K4" s="2">
        <v>16.5</v>
      </c>
    </row>
    <row r="5" spans="1:11" ht="36" customHeight="1" x14ac:dyDescent="0.25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12</v>
      </c>
      <c r="G5" s="3" t="s">
        <v>13</v>
      </c>
      <c r="H5" s="3" t="s">
        <v>14</v>
      </c>
      <c r="J5" s="1" t="s">
        <v>15</v>
      </c>
      <c r="K5" s="2">
        <f>$K$1/($K$2*$K$4)</f>
        <v>0.60196560196560189</v>
      </c>
    </row>
    <row r="6" spans="1:11" ht="27.95" customHeight="1" x14ac:dyDescent="0.25">
      <c r="A6" s="4" t="s">
        <v>16</v>
      </c>
      <c r="B6" s="5">
        <v>7.42</v>
      </c>
      <c r="C6" s="6">
        <f>B6*$K$4*$K$5</f>
        <v>73.698648648648629</v>
      </c>
      <c r="D6" s="7">
        <f t="shared" ref="D6:D23" si="0">C6*1000000/$K$3</f>
        <v>3143.4697653507628</v>
      </c>
      <c r="E6" s="8">
        <f t="shared" ref="E6:E22" si="1">C6/$K$1</f>
        <v>1.6711711711711708</v>
      </c>
      <c r="F6" s="9" t="s">
        <v>17</v>
      </c>
      <c r="G6" s="10" t="s">
        <v>18</v>
      </c>
      <c r="H6" s="11" t="s">
        <v>19</v>
      </c>
    </row>
    <row r="7" spans="1:11" ht="27.95" customHeight="1" x14ac:dyDescent="0.25">
      <c r="A7" s="12" t="s">
        <v>20</v>
      </c>
      <c r="B7" s="13">
        <v>5.56</v>
      </c>
      <c r="C7" s="14">
        <v>70.2</v>
      </c>
      <c r="D7" s="15">
        <f t="shared" si="0"/>
        <v>2994.2418426103645</v>
      </c>
      <c r="E7" s="16">
        <f t="shared" si="1"/>
        <v>1.5918367346938775</v>
      </c>
      <c r="F7" s="9" t="s">
        <v>17</v>
      </c>
      <c r="G7" s="17" t="s">
        <v>21</v>
      </c>
      <c r="H7" s="18" t="s">
        <v>22</v>
      </c>
    </row>
    <row r="8" spans="1:11" ht="27.95" customHeight="1" x14ac:dyDescent="0.25">
      <c r="A8" s="4" t="s">
        <v>23</v>
      </c>
      <c r="B8" s="5">
        <v>5</v>
      </c>
      <c r="C8" s="6">
        <f>B8*$K$4*$K$5</f>
        <v>49.662162162162154</v>
      </c>
      <c r="D8" s="7">
        <f t="shared" si="0"/>
        <v>2118.2410817727514</v>
      </c>
      <c r="E8" s="8">
        <f t="shared" si="1"/>
        <v>1.1261261261261259</v>
      </c>
      <c r="F8" s="9" t="s">
        <v>17</v>
      </c>
      <c r="G8" s="10" t="s">
        <v>18</v>
      </c>
      <c r="H8" s="11" t="s">
        <v>24</v>
      </c>
    </row>
    <row r="9" spans="1:11" ht="27.95" customHeight="1" x14ac:dyDescent="0.25">
      <c r="A9" s="12" t="s">
        <v>25</v>
      </c>
      <c r="B9" s="13">
        <v>4.83</v>
      </c>
      <c r="C9" s="19">
        <f>B9*$K$4*$K$5</f>
        <v>47.973648648648648</v>
      </c>
      <c r="D9" s="15">
        <f t="shared" si="0"/>
        <v>2046.2208849924782</v>
      </c>
      <c r="E9" s="16">
        <f t="shared" si="1"/>
        <v>1.0878378378378377</v>
      </c>
      <c r="F9" s="9" t="s">
        <v>17</v>
      </c>
      <c r="G9" s="17" t="s">
        <v>18</v>
      </c>
      <c r="H9" s="18" t="s">
        <v>26</v>
      </c>
    </row>
    <row r="10" spans="1:11" ht="27.95" customHeight="1" x14ac:dyDescent="0.25">
      <c r="A10" s="4" t="s">
        <v>27</v>
      </c>
      <c r="B10" s="5">
        <v>4.79</v>
      </c>
      <c r="C10" s="6">
        <f>B10*$K$4*$K$5</f>
        <v>47.576351351351342</v>
      </c>
      <c r="D10" s="7">
        <f t="shared" si="0"/>
        <v>2029.2749563382956</v>
      </c>
      <c r="E10" s="8">
        <f t="shared" si="1"/>
        <v>1.0788288288288286</v>
      </c>
      <c r="F10" s="9" t="s">
        <v>17</v>
      </c>
      <c r="G10" s="10" t="s">
        <v>18</v>
      </c>
      <c r="H10" s="11" t="s">
        <v>28</v>
      </c>
    </row>
    <row r="11" spans="1:11" ht="27.95" customHeight="1" x14ac:dyDescent="0.25">
      <c r="A11" s="12" t="s">
        <v>29</v>
      </c>
      <c r="B11" s="13">
        <v>4.6100000000000003</v>
      </c>
      <c r="C11" s="19">
        <f>B11*$K$4*$K$5</f>
        <v>45.788513513513514</v>
      </c>
      <c r="D11" s="15">
        <f t="shared" si="0"/>
        <v>1953.0182773944771</v>
      </c>
      <c r="E11" s="16">
        <f t="shared" si="1"/>
        <v>1.0382882882882882</v>
      </c>
      <c r="F11" s="9" t="s">
        <v>17</v>
      </c>
      <c r="G11" s="17" t="s">
        <v>18</v>
      </c>
      <c r="H11" s="18" t="s">
        <v>30</v>
      </c>
    </row>
    <row r="12" spans="1:11" ht="27.95" customHeight="1" x14ac:dyDescent="0.25">
      <c r="A12" s="4" t="s">
        <v>31</v>
      </c>
      <c r="B12" s="5">
        <v>4.5599999999999996</v>
      </c>
      <c r="C12" s="14">
        <v>56.8</v>
      </c>
      <c r="D12" s="7">
        <f t="shared" si="0"/>
        <v>2422.6914054169333</v>
      </c>
      <c r="E12" s="8">
        <f t="shared" si="1"/>
        <v>1.2879818594104306</v>
      </c>
      <c r="F12" s="9" t="s">
        <v>17</v>
      </c>
      <c r="G12" s="10" t="s">
        <v>21</v>
      </c>
      <c r="H12" s="11" t="s">
        <v>32</v>
      </c>
    </row>
    <row r="13" spans="1:11" ht="27.95" customHeight="1" x14ac:dyDescent="0.25">
      <c r="A13" s="12" t="s">
        <v>33</v>
      </c>
      <c r="B13" s="13">
        <v>4.43</v>
      </c>
      <c r="C13" s="19">
        <f>B13*$K$4*$K$5</f>
        <v>44.000675675675673</v>
      </c>
      <c r="D13" s="15">
        <f t="shared" si="0"/>
        <v>1876.7615984506579</v>
      </c>
      <c r="E13" s="16">
        <f t="shared" si="1"/>
        <v>0.99774774774774766</v>
      </c>
      <c r="F13" s="20" t="s">
        <v>34</v>
      </c>
      <c r="G13" s="17" t="s">
        <v>18</v>
      </c>
      <c r="H13" s="18" t="s">
        <v>35</v>
      </c>
    </row>
    <row r="14" spans="1:11" ht="27.95" customHeight="1" x14ac:dyDescent="0.25">
      <c r="A14" s="4" t="s">
        <v>36</v>
      </c>
      <c r="B14" s="5">
        <v>4.22</v>
      </c>
      <c r="C14" s="6">
        <f>B14*$K$4*$K$5</f>
        <v>41.91486486486486</v>
      </c>
      <c r="D14" s="7">
        <f t="shared" si="0"/>
        <v>1787.7954730162023</v>
      </c>
      <c r="E14" s="8">
        <f t="shared" si="1"/>
        <v>0.95045045045045029</v>
      </c>
      <c r="F14" s="20" t="s">
        <v>34</v>
      </c>
      <c r="G14" s="10" t="s">
        <v>18</v>
      </c>
      <c r="H14" s="11" t="s">
        <v>35</v>
      </c>
    </row>
    <row r="15" spans="1:11" ht="27.95" customHeight="1" x14ac:dyDescent="0.25">
      <c r="A15" s="12" t="s">
        <v>37</v>
      </c>
      <c r="B15" s="13">
        <v>4.03</v>
      </c>
      <c r="C15" s="14">
        <v>57.5</v>
      </c>
      <c r="D15" s="15">
        <f t="shared" si="0"/>
        <v>2452.5485178076351</v>
      </c>
      <c r="E15" s="16">
        <f t="shared" si="1"/>
        <v>1.3038548752834467</v>
      </c>
      <c r="F15" s="20" t="s">
        <v>34</v>
      </c>
      <c r="G15" s="17" t="s">
        <v>21</v>
      </c>
      <c r="H15" s="18" t="s">
        <v>38</v>
      </c>
    </row>
    <row r="16" spans="1:11" ht="27.95" customHeight="1" x14ac:dyDescent="0.25">
      <c r="A16" s="4" t="s">
        <v>39</v>
      </c>
      <c r="B16" s="5">
        <v>3.98</v>
      </c>
      <c r="C16" s="6">
        <f t="shared" ref="C16:C22" si="2">B16*$K$4*$K$5</f>
        <v>39.531081081081076</v>
      </c>
      <c r="D16" s="7">
        <f t="shared" si="0"/>
        <v>1686.1199010911103</v>
      </c>
      <c r="E16" s="8">
        <f t="shared" si="1"/>
        <v>0.89639639639639623</v>
      </c>
      <c r="F16" s="9" t="s">
        <v>17</v>
      </c>
      <c r="G16" s="10" t="s">
        <v>18</v>
      </c>
      <c r="H16" s="11" t="s">
        <v>40</v>
      </c>
    </row>
    <row r="17" spans="1:8" ht="27.95" customHeight="1" x14ac:dyDescent="0.25">
      <c r="A17" s="12" t="s">
        <v>41</v>
      </c>
      <c r="B17" s="13">
        <v>3.8</v>
      </c>
      <c r="C17" s="19">
        <f t="shared" si="2"/>
        <v>37.743243243243235</v>
      </c>
      <c r="D17" s="15">
        <f t="shared" si="0"/>
        <v>1609.8632221472908</v>
      </c>
      <c r="E17" s="16">
        <f t="shared" si="1"/>
        <v>0.85585585585585566</v>
      </c>
      <c r="F17" s="20" t="s">
        <v>34</v>
      </c>
      <c r="G17" s="17" t="s">
        <v>18</v>
      </c>
      <c r="H17" s="18" t="s">
        <v>42</v>
      </c>
    </row>
    <row r="18" spans="1:8" ht="27.95" customHeight="1" x14ac:dyDescent="0.25">
      <c r="A18" s="4" t="s">
        <v>43</v>
      </c>
      <c r="B18" s="5">
        <v>3.79</v>
      </c>
      <c r="C18" s="6">
        <f t="shared" si="2"/>
        <v>37.643918918918914</v>
      </c>
      <c r="D18" s="7">
        <f t="shared" si="0"/>
        <v>1605.6267399837457</v>
      </c>
      <c r="E18" s="8">
        <f t="shared" si="1"/>
        <v>0.85360360360360343</v>
      </c>
      <c r="F18" s="20" t="s">
        <v>34</v>
      </c>
      <c r="G18" s="10" t="s">
        <v>18</v>
      </c>
      <c r="H18" s="11" t="s">
        <v>44</v>
      </c>
    </row>
    <row r="19" spans="1:8" ht="27.95" customHeight="1" x14ac:dyDescent="0.25">
      <c r="A19" s="12" t="s">
        <v>45</v>
      </c>
      <c r="B19" s="13">
        <v>3.75</v>
      </c>
      <c r="C19" s="19">
        <f t="shared" si="2"/>
        <v>37.246621621621614</v>
      </c>
      <c r="D19" s="15">
        <f t="shared" si="0"/>
        <v>1588.6808113295635</v>
      </c>
      <c r="E19" s="16">
        <f t="shared" si="1"/>
        <v>0.84459459459459441</v>
      </c>
      <c r="F19" s="9" t="s">
        <v>17</v>
      </c>
      <c r="G19" s="17" t="s">
        <v>18</v>
      </c>
      <c r="H19" s="18" t="s">
        <v>46</v>
      </c>
    </row>
    <row r="20" spans="1:8" ht="27.95" customHeight="1" x14ac:dyDescent="0.25">
      <c r="A20" s="4" t="s">
        <v>47</v>
      </c>
      <c r="B20" s="5">
        <v>3.72</v>
      </c>
      <c r="C20" s="6">
        <f t="shared" si="2"/>
        <v>36.948648648648643</v>
      </c>
      <c r="D20" s="7">
        <f t="shared" si="0"/>
        <v>1575.971364838927</v>
      </c>
      <c r="E20" s="8">
        <f t="shared" si="1"/>
        <v>0.83783783783783772</v>
      </c>
      <c r="F20" s="9" t="s">
        <v>17</v>
      </c>
      <c r="G20" s="10" t="s">
        <v>18</v>
      </c>
      <c r="H20" s="11" t="s">
        <v>48</v>
      </c>
    </row>
    <row r="21" spans="1:8" ht="27.95" customHeight="1" x14ac:dyDescent="0.25">
      <c r="A21" s="12" t="s">
        <v>49</v>
      </c>
      <c r="B21" s="13">
        <v>3.54</v>
      </c>
      <c r="C21" s="19">
        <f t="shared" si="2"/>
        <v>35.160810810810808</v>
      </c>
      <c r="D21" s="15">
        <f t="shared" si="0"/>
        <v>1499.7146858951082</v>
      </c>
      <c r="E21" s="16">
        <f t="shared" si="1"/>
        <v>0.79729729729729726</v>
      </c>
      <c r="F21" s="20" t="s">
        <v>34</v>
      </c>
      <c r="G21" s="17" t="s">
        <v>18</v>
      </c>
      <c r="H21" s="18" t="s">
        <v>50</v>
      </c>
    </row>
    <row r="22" spans="1:8" ht="27.95" customHeight="1" x14ac:dyDescent="0.25">
      <c r="A22" s="4" t="s">
        <v>51</v>
      </c>
      <c r="B22" s="5">
        <v>2.86</v>
      </c>
      <c r="C22" s="6">
        <f t="shared" si="2"/>
        <v>28.406756756756753</v>
      </c>
      <c r="D22" s="7">
        <f t="shared" si="0"/>
        <v>1211.6338987740137</v>
      </c>
      <c r="E22" s="8">
        <f t="shared" si="1"/>
        <v>0.644144144144144</v>
      </c>
      <c r="F22" s="20" t="s">
        <v>34</v>
      </c>
      <c r="G22" s="10" t="s">
        <v>18</v>
      </c>
      <c r="H22" s="11" t="s">
        <v>52</v>
      </c>
    </row>
    <row r="23" spans="1:8" x14ac:dyDescent="0.25">
      <c r="A23" s="32" t="s">
        <v>53</v>
      </c>
      <c r="B23" s="21">
        <v>4.4400000000000004</v>
      </c>
      <c r="C23" s="22">
        <v>44.1</v>
      </c>
      <c r="D23" s="23">
        <f t="shared" si="0"/>
        <v>1880.9980806142034</v>
      </c>
      <c r="E23" s="24">
        <v>1</v>
      </c>
      <c r="F23" s="25"/>
      <c r="G23" s="25"/>
      <c r="H23" s="25"/>
    </row>
    <row r="25" spans="1:8" x14ac:dyDescent="0.25">
      <c r="A25" s="26" t="s">
        <v>54</v>
      </c>
    </row>
    <row r="26" spans="1:8" x14ac:dyDescent="0.25">
      <c r="A26" s="27" t="s">
        <v>55</v>
      </c>
      <c r="B26" s="28"/>
    </row>
    <row r="27" spans="1:8" x14ac:dyDescent="0.25">
      <c r="A27" s="27" t="s">
        <v>56</v>
      </c>
    </row>
    <row r="28" spans="1:8" x14ac:dyDescent="0.25">
      <c r="A28" s="2" t="s">
        <v>57</v>
      </c>
    </row>
    <row r="29" spans="1:8" x14ac:dyDescent="0.25">
      <c r="A29" s="27" t="s">
        <v>58</v>
      </c>
    </row>
  </sheetData>
  <mergeCells count="4">
    <mergeCell ref="A3:H3"/>
    <mergeCell ref="A2:H2"/>
    <mergeCell ref="A2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 Breach Costs by Industry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Sarel Lamprecht</cp:lastModifiedBy>
  <dcterms:created xsi:type="dcterms:W3CDTF">2026-03-16T23:50:33Z</dcterms:created>
  <dcterms:modified xsi:type="dcterms:W3CDTF">2026-03-17T06:11:43Z</dcterms:modified>
</cp:coreProperties>
</file>